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m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10"/>
    </font>
    <font>
      <name val="Arial"/>
      <b val="1"/>
      <sz val="10"/>
    </font>
    <font>
      <name val="Arial"/>
      <sz val="10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2" fontId="3" fillId="0" borderId="0" pivotButton="0" quotePrefix="0" xfId="0"/>
    <xf numFmtId="2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TransPrimer</author>
  </authors>
  <commentList>
    <comment ref="E5" authorId="0" shapeId="0">
      <text>
        <t>Source: IDT OligoAnalyzer, https://www.idtdna.com/calc/analyzer, read 2026-10-20 with oligo 0.25 µM, Na+ 50 mM, Mg++ 3 mM, dNTPs 0.8 mM, DNA target. IDT displays one decimal.</t>
      </text>
    </comment>
    <comment ref="F5" authorId="0" shapeId="0">
      <text>
        <t>Source: TransPrimer web engine tm() in web/src/lib/tm.ts, same conditions, R·ln(C_T) form, rounded to 0.1 °C.</t>
      </text>
    </comment>
    <comment ref="I5" authorId="0" shapeId="0">
      <text>
        <t>For reference: the same engine before the 2026-10-20 change, when it used SantaLucia's duplex form R·ln(C_T/4). It read 2–4 °C cooler than IDT.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2" customWidth="1" min="3" max="3"/>
    <col width="8" customWidth="1" min="4" max="4"/>
    <col width="16" customWidth="1" min="5" max="5"/>
    <col width="16" customWidth="1" min="6" max="6"/>
    <col width="20" customWidth="1" min="7" max="7"/>
    <col width="12" customWidth="1" min="8" max="8"/>
    <col width="24" customWidth="1" min="9" max="9"/>
  </cols>
  <sheetData>
    <row r="1">
      <c r="A1" s="1" t="inlineStr">
        <is>
          <t>IDT OligoAnalyzer vs TransPrimer melting temperatures — 40 random primers, 10–14 nt</t>
        </is>
      </c>
    </row>
    <row r="2">
      <c r="A2" s="2" t="inlineStr">
        <is>
          <t>Reaction conditions in both tools: 50 mM Na⁺, 3 mM Mg²⁺, 0.8 mM dNTPs, 0.25 µM oligo, DNA target. IDT values read from the OligoAnalyzer web page on 2026-10-20 (qPCR parameter set, oligo conc changed to 0.25). TransPrimer values from web/src/lib/tm.ts after the switch to the R·ln(C_T) concentration term (same form as IDT).</t>
        </is>
      </c>
    </row>
    <row r="4" ht="48" customHeight="1">
      <c r="A4" s="3" t="inlineStr">
        <is>
          <t>#</t>
        </is>
      </c>
      <c r="B4" s="3" t="inlineStr">
        <is>
          <t>Length (nt)</t>
        </is>
      </c>
      <c r="C4" s="3" t="inlineStr">
        <is>
          <t>Primer sequence (5'→3')</t>
        </is>
      </c>
      <c r="D4" s="3" t="inlineStr">
        <is>
          <t>GC (%)</t>
        </is>
      </c>
      <c r="E4" s="3" t="inlineStr">
        <is>
          <t>Tm IDT OligoAnalyzer (°C)</t>
        </is>
      </c>
      <c r="F4" s="3" t="inlineStr">
        <is>
          <t>Tm TransPrimer (°C)</t>
        </is>
      </c>
      <c r="G4" s="3" t="inlineStr">
        <is>
          <t>Tm difference IDT − TransPrimer (°C)</t>
        </is>
      </c>
      <c r="H4" s="3" t="inlineStr">
        <is>
          <t>|difference| (°C)</t>
        </is>
      </c>
      <c r="I4" s="3" t="inlineStr">
        <is>
          <t>Tm TransPrimer before 2026-10-20, R·ln(C_T/4) form (°C)</t>
        </is>
      </c>
    </row>
    <row r="5">
      <c r="A5" s="4" t="n">
        <v>1</v>
      </c>
      <c r="B5" s="4" t="n">
        <v>10</v>
      </c>
      <c r="C5" s="5" t="inlineStr">
        <is>
          <t>TGCTATACAG</t>
        </is>
      </c>
      <c r="D5" s="6">
        <f>ROUND(100*(LEN(C5)-LEN(SUBSTITUTE(SUBSTITUTE(C5,"G",""),"C","")))/LEN(C5),1)</f>
        <v/>
      </c>
      <c r="E5" s="7" t="n">
        <v>30</v>
      </c>
      <c r="F5" s="7" t="n">
        <v>30</v>
      </c>
      <c r="G5" s="6">
        <f>E5-F5</f>
        <v/>
      </c>
      <c r="H5" s="6">
        <f>ABS(G5)</f>
        <v/>
      </c>
      <c r="I5" s="7" t="n">
        <v>26.4</v>
      </c>
    </row>
    <row r="6">
      <c r="A6" s="4" t="n">
        <v>2</v>
      </c>
      <c r="B6" s="4" t="n">
        <v>10</v>
      </c>
      <c r="C6" s="5" t="inlineStr">
        <is>
          <t>CACTACCCAA</t>
        </is>
      </c>
      <c r="D6" s="6">
        <f>ROUND(100*(LEN(C6)-LEN(SUBSTITUTE(SUBSTITUTE(C6,"G",""),"C","")))/LEN(C6),1)</f>
        <v/>
      </c>
      <c r="E6" s="7" t="n">
        <v>34.8</v>
      </c>
      <c r="F6" s="7" t="n">
        <v>35.3</v>
      </c>
      <c r="G6" s="6">
        <f>E6-F6</f>
        <v/>
      </c>
      <c r="H6" s="6">
        <f>ABS(G6)</f>
        <v/>
      </c>
      <c r="I6" s="7" t="n">
        <v>31.6</v>
      </c>
    </row>
    <row r="7">
      <c r="A7" s="4" t="n">
        <v>3</v>
      </c>
      <c r="B7" s="4" t="n">
        <v>10</v>
      </c>
      <c r="C7" s="5" t="inlineStr">
        <is>
          <t>CAGTTGCTAG</t>
        </is>
      </c>
      <c r="D7" s="6">
        <f>ROUND(100*(LEN(C7)-LEN(SUBSTITUTE(SUBSTITUTE(C7,"G",""),"C","")))/LEN(C7),1)</f>
        <v/>
      </c>
      <c r="E7" s="7" t="n">
        <v>33.6</v>
      </c>
      <c r="F7" s="7" t="n">
        <v>34.1</v>
      </c>
      <c r="G7" s="6">
        <f>E7-F7</f>
        <v/>
      </c>
      <c r="H7" s="6">
        <f>ABS(G7)</f>
        <v/>
      </c>
      <c r="I7" s="7" t="n">
        <v>30.6</v>
      </c>
    </row>
    <row r="8">
      <c r="A8" s="4" t="n">
        <v>4</v>
      </c>
      <c r="B8" s="4" t="n">
        <v>10</v>
      </c>
      <c r="C8" s="5" t="inlineStr">
        <is>
          <t>CAACTCTGCG</t>
        </is>
      </c>
      <c r="D8" s="6">
        <f>ROUND(100*(LEN(C8)-LEN(SUBSTITUTE(SUBSTITUTE(C8,"G",""),"C","")))/LEN(C8),1)</f>
        <v/>
      </c>
      <c r="E8" s="7" t="n">
        <v>39.8</v>
      </c>
      <c r="F8" s="7" t="n">
        <v>40.8</v>
      </c>
      <c r="G8" s="6">
        <f>E8-F8</f>
        <v/>
      </c>
      <c r="H8" s="6">
        <f>ABS(G8)</f>
        <v/>
      </c>
      <c r="I8" s="7" t="n">
        <v>37.3</v>
      </c>
    </row>
    <row r="9">
      <c r="A9" s="4" t="n">
        <v>5</v>
      </c>
      <c r="B9" s="4" t="n">
        <v>10</v>
      </c>
      <c r="C9" s="5" t="inlineStr">
        <is>
          <t>CAAGACATCA</t>
        </is>
      </c>
      <c r="D9" s="6">
        <f>ROUND(100*(LEN(C9)-LEN(SUBSTITUTE(SUBSTITUTE(C9,"G",""),"C","")))/LEN(C9),1)</f>
        <v/>
      </c>
      <c r="E9" s="7" t="n">
        <v>31.7</v>
      </c>
      <c r="F9" s="7" t="n">
        <v>31.7</v>
      </c>
      <c r="G9" s="6">
        <f>E9-F9</f>
        <v/>
      </c>
      <c r="H9" s="6">
        <f>ABS(G9)</f>
        <v/>
      </c>
      <c r="I9" s="7" t="n">
        <v>28.1</v>
      </c>
    </row>
    <row r="10">
      <c r="A10" s="4" t="n">
        <v>6</v>
      </c>
      <c r="B10" s="4" t="n">
        <v>10</v>
      </c>
      <c r="C10" s="5" t="inlineStr">
        <is>
          <t>TTCCTTCCGT</t>
        </is>
      </c>
      <c r="D10" s="6">
        <f>ROUND(100*(LEN(C10)-LEN(SUBSTITUTE(SUBSTITUTE(C10,"G",""),"C","")))/LEN(C10),1)</f>
        <v/>
      </c>
      <c r="E10" s="7" t="n">
        <v>38.3</v>
      </c>
      <c r="F10" s="7" t="n">
        <v>38.7</v>
      </c>
      <c r="G10" s="6">
        <f>E10-F10</f>
        <v/>
      </c>
      <c r="H10" s="6">
        <f>ABS(G10)</f>
        <v/>
      </c>
      <c r="I10" s="7" t="n">
        <v>35</v>
      </c>
    </row>
    <row r="11">
      <c r="A11" s="4" t="n">
        <v>7</v>
      </c>
      <c r="B11" s="4" t="n">
        <v>10</v>
      </c>
      <c r="C11" s="5" t="inlineStr">
        <is>
          <t>GTTTTCCAAC</t>
        </is>
      </c>
      <c r="D11" s="6">
        <f>ROUND(100*(LEN(C11)-LEN(SUBSTITUTE(SUBSTITUTE(C11,"G",""),"C","")))/LEN(C11),1)</f>
        <v/>
      </c>
      <c r="E11" s="7" t="n">
        <v>31.6</v>
      </c>
      <c r="F11" s="7" t="n">
        <v>31.6</v>
      </c>
      <c r="G11" s="6">
        <f>E11-F11</f>
        <v/>
      </c>
      <c r="H11" s="6">
        <f>ABS(G11)</f>
        <v/>
      </c>
      <c r="I11" s="7" t="n">
        <v>28.1</v>
      </c>
    </row>
    <row r="12">
      <c r="A12" s="4" t="n">
        <v>8</v>
      </c>
      <c r="B12" s="4" t="n">
        <v>10</v>
      </c>
      <c r="C12" s="5" t="inlineStr">
        <is>
          <t>ACGCAACTTC</t>
        </is>
      </c>
      <c r="D12" s="6">
        <f>ROUND(100*(LEN(C12)-LEN(SUBSTITUTE(SUBSTITUTE(C12,"G",""),"C","")))/LEN(C12),1)</f>
        <v/>
      </c>
      <c r="E12" s="7" t="n">
        <v>38.7</v>
      </c>
      <c r="F12" s="7" t="n">
        <v>39.2</v>
      </c>
      <c r="G12" s="6">
        <f>E12-F12</f>
        <v/>
      </c>
      <c r="H12" s="6">
        <f>ABS(G12)</f>
        <v/>
      </c>
      <c r="I12" s="7" t="n">
        <v>35.7</v>
      </c>
    </row>
    <row r="13">
      <c r="A13" s="4" t="n">
        <v>9</v>
      </c>
      <c r="B13" s="4" t="n">
        <v>11</v>
      </c>
      <c r="C13" s="5" t="inlineStr">
        <is>
          <t>GAGGGTTCTTG</t>
        </is>
      </c>
      <c r="D13" s="6">
        <f>ROUND(100*(LEN(C13)-LEN(SUBSTITUTE(SUBSTITUTE(C13,"G",""),"C","")))/LEN(C13),1)</f>
        <v/>
      </c>
      <c r="E13" s="7" t="n">
        <v>39.8</v>
      </c>
      <c r="F13" s="7" t="n">
        <v>40.6</v>
      </c>
      <c r="G13" s="6">
        <f>E13-F13</f>
        <v/>
      </c>
      <c r="H13" s="6">
        <f>ABS(G13)</f>
        <v/>
      </c>
      <c r="I13" s="7" t="n">
        <v>37.2</v>
      </c>
    </row>
    <row r="14">
      <c r="A14" s="4" t="n">
        <v>10</v>
      </c>
      <c r="B14" s="4" t="n">
        <v>11</v>
      </c>
      <c r="C14" s="5" t="inlineStr">
        <is>
          <t>CTAGTTAATTT</t>
        </is>
      </c>
      <c r="D14" s="6">
        <f>ROUND(100*(LEN(C14)-LEN(SUBSTITUTE(SUBSTITUTE(C14,"G",""),"C","")))/LEN(C14),1)</f>
        <v/>
      </c>
      <c r="E14" s="7" t="n">
        <v>25.9</v>
      </c>
      <c r="F14" s="7" t="n">
        <v>24.8</v>
      </c>
      <c r="G14" s="6">
        <f>E14-F14</f>
        <v/>
      </c>
      <c r="H14" s="6">
        <f>ABS(G14)</f>
        <v/>
      </c>
      <c r="I14" s="7" t="n">
        <v>21.6</v>
      </c>
    </row>
    <row r="15">
      <c r="A15" s="4" t="n">
        <v>11</v>
      </c>
      <c r="B15" s="4" t="n">
        <v>11</v>
      </c>
      <c r="C15" s="5" t="inlineStr">
        <is>
          <t>ACTCATGTTTA</t>
        </is>
      </c>
      <c r="D15" s="6">
        <f>ROUND(100*(LEN(C15)-LEN(SUBSTITUTE(SUBSTITUTE(C15,"G",""),"C","")))/LEN(C15),1)</f>
        <v/>
      </c>
      <c r="E15" s="7" t="n">
        <v>32.5</v>
      </c>
      <c r="F15" s="7" t="n">
        <v>31.9</v>
      </c>
      <c r="G15" s="6">
        <f>E15-F15</f>
        <v/>
      </c>
      <c r="H15" s="6">
        <f>ABS(G15)</f>
        <v/>
      </c>
      <c r="I15" s="7" t="n">
        <v>28.5</v>
      </c>
    </row>
    <row r="16">
      <c r="A16" s="4" t="n">
        <v>12</v>
      </c>
      <c r="B16" s="4" t="n">
        <v>11</v>
      </c>
      <c r="C16" s="5" t="inlineStr">
        <is>
          <t>TGAGTTCACAC</t>
        </is>
      </c>
      <c r="D16" s="6">
        <f>ROUND(100*(LEN(C16)-LEN(SUBSTITUTE(SUBSTITUTE(C16,"G",""),"C","")))/LEN(C16),1)</f>
        <v/>
      </c>
      <c r="E16" s="7" t="n">
        <v>39.1</v>
      </c>
      <c r="F16" s="7" t="n">
        <v>39.4</v>
      </c>
      <c r="G16" s="6">
        <f>E16-F16</f>
        <v/>
      </c>
      <c r="H16" s="6">
        <f>ABS(G16)</f>
        <v/>
      </c>
      <c r="I16" s="7" t="n">
        <v>36.1</v>
      </c>
    </row>
    <row r="17">
      <c r="A17" s="4" t="n">
        <v>13</v>
      </c>
      <c r="B17" s="4" t="n">
        <v>11</v>
      </c>
      <c r="C17" s="5" t="inlineStr">
        <is>
          <t>CGGCAGTACGA</t>
        </is>
      </c>
      <c r="D17" s="6">
        <f>ROUND(100*(LEN(C17)-LEN(SUBSTITUTE(SUBSTITUTE(C17,"G",""),"C","")))/LEN(C17),1)</f>
        <v/>
      </c>
      <c r="E17" s="7" t="n">
        <v>47.2</v>
      </c>
      <c r="F17" s="7" t="n">
        <v>48.4</v>
      </c>
      <c r="G17" s="6">
        <f>E17-F17</f>
        <v/>
      </c>
      <c r="H17" s="6">
        <f>ABS(G17)</f>
        <v/>
      </c>
      <c r="I17" s="7" t="n">
        <v>45.1</v>
      </c>
    </row>
    <row r="18">
      <c r="A18" s="4" t="n">
        <v>14</v>
      </c>
      <c r="B18" s="4" t="n">
        <v>11</v>
      </c>
      <c r="C18" s="5" t="inlineStr">
        <is>
          <t>CGTCGTGACTT</t>
        </is>
      </c>
      <c r="D18" s="6">
        <f>ROUND(100*(LEN(C18)-LEN(SUBSTITUTE(SUBSTITUTE(C18,"G",""),"C","")))/LEN(C18),1)</f>
        <v/>
      </c>
      <c r="E18" s="7" t="n">
        <v>43.9</v>
      </c>
      <c r="F18" s="7" t="n">
        <v>44.7</v>
      </c>
      <c r="G18" s="6">
        <f>E18-F18</f>
        <v/>
      </c>
      <c r="H18" s="6">
        <f>ABS(G18)</f>
        <v/>
      </c>
      <c r="I18" s="7" t="n">
        <v>41.4</v>
      </c>
    </row>
    <row r="19">
      <c r="A19" s="4" t="n">
        <v>15</v>
      </c>
      <c r="B19" s="4" t="n">
        <v>11</v>
      </c>
      <c r="C19" s="5" t="inlineStr">
        <is>
          <t>CATGTGTATGC</t>
        </is>
      </c>
      <c r="D19" s="6">
        <f>ROUND(100*(LEN(C19)-LEN(SUBSTITUTE(SUBSTITUTE(C19,"G",""),"C","")))/LEN(C19),1)</f>
        <v/>
      </c>
      <c r="E19" s="7" t="n">
        <v>37.8</v>
      </c>
      <c r="F19" s="7" t="n">
        <v>38.1</v>
      </c>
      <c r="G19" s="6">
        <f>E19-F19</f>
        <v/>
      </c>
      <c r="H19" s="6">
        <f>ABS(G19)</f>
        <v/>
      </c>
      <c r="I19" s="7" t="n">
        <v>34.9</v>
      </c>
    </row>
    <row r="20">
      <c r="A20" s="4" t="n">
        <v>16</v>
      </c>
      <c r="B20" s="4" t="n">
        <v>11</v>
      </c>
      <c r="C20" s="5" t="inlineStr">
        <is>
          <t>TTCCAAAAACC</t>
        </is>
      </c>
      <c r="D20" s="6">
        <f>ROUND(100*(LEN(C20)-LEN(SUBSTITUTE(SUBSTITUTE(C20,"G",""),"C","")))/LEN(C20),1)</f>
        <v/>
      </c>
      <c r="E20" s="7" t="n">
        <v>36.6</v>
      </c>
      <c r="F20" s="7" t="n">
        <v>36.5</v>
      </c>
      <c r="G20" s="6">
        <f>E20-F20</f>
        <v/>
      </c>
      <c r="H20" s="6">
        <f>ABS(G20)</f>
        <v/>
      </c>
      <c r="I20" s="7" t="n">
        <v>33.1</v>
      </c>
    </row>
    <row r="21">
      <c r="A21" s="4" t="n">
        <v>17</v>
      </c>
      <c r="B21" s="4" t="n">
        <v>12</v>
      </c>
      <c r="C21" s="5" t="inlineStr">
        <is>
          <t>GGAAGAGACATA</t>
        </is>
      </c>
      <c r="D21" s="6">
        <f>ROUND(100*(LEN(C21)-LEN(SUBSTITUTE(SUBSTITUTE(C21,"G",""),"C","")))/LEN(C21),1)</f>
        <v/>
      </c>
      <c r="E21" s="7" t="n">
        <v>38.8</v>
      </c>
      <c r="F21" s="7" t="n">
        <v>38.9</v>
      </c>
      <c r="G21" s="6">
        <f>E21-F21</f>
        <v/>
      </c>
      <c r="H21" s="6">
        <f>ABS(G21)</f>
        <v/>
      </c>
      <c r="I21" s="7" t="n">
        <v>35.8</v>
      </c>
    </row>
    <row r="22">
      <c r="A22" s="4" t="n">
        <v>18</v>
      </c>
      <c r="B22" s="4" t="n">
        <v>12</v>
      </c>
      <c r="C22" s="5" t="inlineStr">
        <is>
          <t>GACCGATGATTA</t>
        </is>
      </c>
      <c r="D22" s="6">
        <f>ROUND(100*(LEN(C22)-LEN(SUBSTITUTE(SUBSTITUTE(C22,"G",""),"C","")))/LEN(C22),1)</f>
        <v/>
      </c>
      <c r="E22" s="7" t="n">
        <v>40.3</v>
      </c>
      <c r="F22" s="7" t="n">
        <v>40.4</v>
      </c>
      <c r="G22" s="6">
        <f>E22-F22</f>
        <v/>
      </c>
      <c r="H22" s="6">
        <f>ABS(G22)</f>
        <v/>
      </c>
      <c r="I22" s="7" t="n">
        <v>37.3</v>
      </c>
    </row>
    <row r="23">
      <c r="A23" s="4" t="n">
        <v>19</v>
      </c>
      <c r="B23" s="4" t="n">
        <v>12</v>
      </c>
      <c r="C23" s="5" t="inlineStr">
        <is>
          <t>TCAAGCGAGGTT</t>
        </is>
      </c>
      <c r="D23" s="6">
        <f>ROUND(100*(LEN(C23)-LEN(SUBSTITUTE(SUBSTITUTE(C23,"G",""),"C","")))/LEN(C23),1)</f>
        <v/>
      </c>
      <c r="E23" s="7" t="n">
        <v>47.8</v>
      </c>
      <c r="F23" s="7" t="n">
        <v>48.3</v>
      </c>
      <c r="G23" s="6">
        <f>E23-F23</f>
        <v/>
      </c>
      <c r="H23" s="6">
        <f>ABS(G23)</f>
        <v/>
      </c>
      <c r="I23" s="7" t="n">
        <v>45.2</v>
      </c>
    </row>
    <row r="24">
      <c r="A24" s="4" t="n">
        <v>20</v>
      </c>
      <c r="B24" s="4" t="n">
        <v>12</v>
      </c>
      <c r="C24" s="5" t="inlineStr">
        <is>
          <t>CAGGCAAGGGCC</t>
        </is>
      </c>
      <c r="D24" s="6">
        <f>ROUND(100*(LEN(C24)-LEN(SUBSTITUTE(SUBSTITUTE(C24,"G",""),"C","")))/LEN(C24),1)</f>
        <v/>
      </c>
      <c r="E24" s="7" t="n">
        <v>54.4</v>
      </c>
      <c r="F24" s="7" t="n">
        <v>56.3</v>
      </c>
      <c r="G24" s="6">
        <f>E24-F24</f>
        <v/>
      </c>
      <c r="H24" s="6">
        <f>ABS(G24)</f>
        <v/>
      </c>
      <c r="I24" s="7" t="n">
        <v>53.1</v>
      </c>
    </row>
    <row r="25">
      <c r="A25" s="4" t="n">
        <v>21</v>
      </c>
      <c r="B25" s="4" t="n">
        <v>12</v>
      </c>
      <c r="C25" s="5" t="inlineStr">
        <is>
          <t>CATTAGGGTGGT</t>
        </is>
      </c>
      <c r="D25" s="6">
        <f>ROUND(100*(LEN(C25)-LEN(SUBSTITUTE(SUBSTITUTE(C25,"G",""),"C","")))/LEN(C25),1)</f>
        <v/>
      </c>
      <c r="E25" s="7" t="n">
        <v>43.7</v>
      </c>
      <c r="F25" s="7" t="n">
        <v>44.2</v>
      </c>
      <c r="G25" s="6">
        <f>E25-F25</f>
        <v/>
      </c>
      <c r="H25" s="6">
        <f>ABS(G25)</f>
        <v/>
      </c>
      <c r="I25" s="7" t="n">
        <v>41</v>
      </c>
    </row>
    <row r="26">
      <c r="A26" s="4" t="n">
        <v>22</v>
      </c>
      <c r="B26" s="4" t="n">
        <v>12</v>
      </c>
      <c r="C26" s="5" t="inlineStr">
        <is>
          <t>CACGTCGGTCGC</t>
        </is>
      </c>
      <c r="D26" s="6">
        <f>ROUND(100*(LEN(C26)-LEN(SUBSTITUTE(SUBSTITUTE(C26,"G",""),"C","")))/LEN(C26),1)</f>
        <v/>
      </c>
      <c r="E26" s="7" t="n">
        <v>54.9</v>
      </c>
      <c r="F26" s="7" t="n">
        <v>56.8</v>
      </c>
      <c r="G26" s="6">
        <f>E26-F26</f>
        <v/>
      </c>
      <c r="H26" s="6">
        <f>ABS(G26)</f>
        <v/>
      </c>
      <c r="I26" s="7" t="n">
        <v>53.8</v>
      </c>
    </row>
    <row r="27">
      <c r="A27" s="4" t="n">
        <v>23</v>
      </c>
      <c r="B27" s="4" t="n">
        <v>12</v>
      </c>
      <c r="C27" s="5" t="inlineStr">
        <is>
          <t>GCTCGTTAGCGG</t>
        </is>
      </c>
      <c r="D27" s="6">
        <f>ROUND(100*(LEN(C27)-LEN(SUBSTITUTE(SUBSTITUTE(C27,"G",""),"C","")))/LEN(C27),1)</f>
        <v/>
      </c>
      <c r="E27" s="7" t="n">
        <v>50.8</v>
      </c>
      <c r="F27" s="7" t="n">
        <v>52.3</v>
      </c>
      <c r="G27" s="6">
        <f>E27-F27</f>
        <v/>
      </c>
      <c r="H27" s="6">
        <f>ABS(G27)</f>
        <v/>
      </c>
      <c r="I27" s="7" t="n">
        <v>49.3</v>
      </c>
    </row>
    <row r="28">
      <c r="A28" s="4" t="n">
        <v>24</v>
      </c>
      <c r="B28" s="4" t="n">
        <v>12</v>
      </c>
      <c r="C28" s="5" t="inlineStr">
        <is>
          <t>CCTGCAGTTGGT</t>
        </is>
      </c>
      <c r="D28" s="6">
        <f>ROUND(100*(LEN(C28)-LEN(SUBSTITUTE(SUBSTITUTE(C28,"G",""),"C","")))/LEN(C28),1)</f>
        <v/>
      </c>
      <c r="E28" s="7" t="n">
        <v>49.2</v>
      </c>
      <c r="F28" s="7" t="n">
        <v>50.3</v>
      </c>
      <c r="G28" s="6">
        <f>E28-F28</f>
        <v/>
      </c>
      <c r="H28" s="6">
        <f>ABS(G28)</f>
        <v/>
      </c>
      <c r="I28" s="7" t="n">
        <v>47.1</v>
      </c>
    </row>
    <row r="29">
      <c r="A29" s="4" t="n">
        <v>25</v>
      </c>
      <c r="B29" s="4" t="n">
        <v>13</v>
      </c>
      <c r="C29" s="5" t="inlineStr">
        <is>
          <t>ACATGTTTAAGCA</t>
        </is>
      </c>
      <c r="D29" s="6">
        <f>ROUND(100*(LEN(C29)-LEN(SUBSTITUTE(SUBSTITUTE(C29,"G",""),"C","")))/LEN(C29),1)</f>
        <v/>
      </c>
      <c r="E29" s="7" t="n">
        <v>43.3</v>
      </c>
      <c r="F29" s="7" t="n">
        <v>42.8</v>
      </c>
      <c r="G29" s="6">
        <f>E29-F29</f>
        <v/>
      </c>
      <c r="H29" s="6">
        <f>ABS(G29)</f>
        <v/>
      </c>
      <c r="I29" s="7" t="n">
        <v>39.8</v>
      </c>
    </row>
    <row r="30">
      <c r="A30" s="4" t="n">
        <v>26</v>
      </c>
      <c r="B30" s="4" t="n">
        <v>13</v>
      </c>
      <c r="C30" s="5" t="inlineStr">
        <is>
          <t>GATGTTGTGAGCT</t>
        </is>
      </c>
      <c r="D30" s="6">
        <f>ROUND(100*(LEN(C30)-LEN(SUBSTITUTE(SUBSTITUTE(C30,"G",""),"C","")))/LEN(C30),1)</f>
        <v/>
      </c>
      <c r="E30" s="7" t="n">
        <v>47.1</v>
      </c>
      <c r="F30" s="7" t="n">
        <v>47.5</v>
      </c>
      <c r="G30" s="6">
        <f>E30-F30</f>
        <v/>
      </c>
      <c r="H30" s="6">
        <f>ABS(G30)</f>
        <v/>
      </c>
      <c r="I30" s="7" t="n">
        <v>44.6</v>
      </c>
    </row>
    <row r="31">
      <c r="A31" s="4" t="n">
        <v>27</v>
      </c>
      <c r="B31" s="4" t="n">
        <v>13</v>
      </c>
      <c r="C31" s="5" t="inlineStr">
        <is>
          <t>TTGACCGCGCTCT</t>
        </is>
      </c>
      <c r="D31" s="6">
        <f>ROUND(100*(LEN(C31)-LEN(SUBSTITUTE(SUBSTITUTE(C31,"G",""),"C","")))/LEN(C31),1)</f>
        <v/>
      </c>
      <c r="E31" s="7" t="n">
        <v>56.6</v>
      </c>
      <c r="F31" s="7" t="n">
        <v>57.9</v>
      </c>
      <c r="G31" s="6">
        <f>E31-F31</f>
        <v/>
      </c>
      <c r="H31" s="6">
        <f>ABS(G31)</f>
        <v/>
      </c>
      <c r="I31" s="7" t="n">
        <v>54.9</v>
      </c>
    </row>
    <row r="32">
      <c r="A32" s="4" t="n">
        <v>28</v>
      </c>
      <c r="B32" s="4" t="n">
        <v>13</v>
      </c>
      <c r="C32" s="5" t="inlineStr">
        <is>
          <t>AAGCTGCTCGGAC</t>
        </is>
      </c>
      <c r="D32" s="6">
        <f>ROUND(100*(LEN(C32)-LEN(SUBSTITUTE(SUBSTITUTE(C32,"G",""),"C","")))/LEN(C32),1)</f>
        <v/>
      </c>
      <c r="E32" s="7" t="n">
        <v>53.9</v>
      </c>
      <c r="F32" s="7" t="n">
        <v>55.2</v>
      </c>
      <c r="G32" s="6">
        <f>E32-F32</f>
        <v/>
      </c>
      <c r="H32" s="6">
        <f>ABS(G32)</f>
        <v/>
      </c>
      <c r="I32" s="7" t="n">
        <v>52.3</v>
      </c>
    </row>
    <row r="33">
      <c r="A33" s="4" t="n">
        <v>29</v>
      </c>
      <c r="B33" s="4" t="n">
        <v>13</v>
      </c>
      <c r="C33" s="5" t="inlineStr">
        <is>
          <t>TGGCAACGAGCAA</t>
        </is>
      </c>
      <c r="D33" s="6">
        <f>ROUND(100*(LEN(C33)-LEN(SUBSTITUTE(SUBSTITUTE(C33,"G",""),"C","")))/LEN(C33),1)</f>
        <v/>
      </c>
      <c r="E33" s="7" t="n">
        <v>54.2</v>
      </c>
      <c r="F33" s="7" t="n">
        <v>55.1</v>
      </c>
      <c r="G33" s="6">
        <f>E33-F33</f>
        <v/>
      </c>
      <c r="H33" s="6">
        <f>ABS(G33)</f>
        <v/>
      </c>
      <c r="I33" s="7" t="n">
        <v>52.1</v>
      </c>
    </row>
    <row r="34">
      <c r="A34" s="4" t="n">
        <v>30</v>
      </c>
      <c r="B34" s="4" t="n">
        <v>13</v>
      </c>
      <c r="C34" s="5" t="inlineStr">
        <is>
          <t>GCACTACTAGAAG</t>
        </is>
      </c>
      <c r="D34" s="6">
        <f>ROUND(100*(LEN(C34)-LEN(SUBSTITUTE(SUBSTITUTE(C34,"G",""),"C","")))/LEN(C34),1)</f>
        <v/>
      </c>
      <c r="E34" s="7" t="n">
        <v>42.8</v>
      </c>
      <c r="F34" s="7" t="n">
        <v>43.2</v>
      </c>
      <c r="G34" s="6">
        <f>E34-F34</f>
        <v/>
      </c>
      <c r="H34" s="6">
        <f>ABS(G34)</f>
        <v/>
      </c>
      <c r="I34" s="7" t="n">
        <v>40.4</v>
      </c>
    </row>
    <row r="35">
      <c r="A35" s="4" t="n">
        <v>31</v>
      </c>
      <c r="B35" s="4" t="n">
        <v>13</v>
      </c>
      <c r="C35" s="5" t="inlineStr">
        <is>
          <t>AGGATATACGACC</t>
        </is>
      </c>
      <c r="D35" s="6">
        <f>ROUND(100*(LEN(C35)-LEN(SUBSTITUTE(SUBSTITUTE(C35,"G",""),"C","")))/LEN(C35),1)</f>
        <v/>
      </c>
      <c r="E35" s="7" t="n">
        <v>44</v>
      </c>
      <c r="F35" s="7" t="n">
        <v>44.4</v>
      </c>
      <c r="G35" s="6">
        <f>E35-F35</f>
        <v/>
      </c>
      <c r="H35" s="6">
        <f>ABS(G35)</f>
        <v/>
      </c>
      <c r="I35" s="7" t="n">
        <v>41.5</v>
      </c>
    </row>
    <row r="36">
      <c r="A36" s="4" t="n">
        <v>32</v>
      </c>
      <c r="B36" s="4" t="n">
        <v>13</v>
      </c>
      <c r="C36" s="5" t="inlineStr">
        <is>
          <t>TTAGCAAACTAAG</t>
        </is>
      </c>
      <c r="D36" s="6">
        <f>ROUND(100*(LEN(C36)-LEN(SUBSTITUTE(SUBSTITUTE(C36,"G",""),"C","")))/LEN(C36),1)</f>
        <v/>
      </c>
      <c r="E36" s="7" t="n">
        <v>39.8</v>
      </c>
      <c r="F36" s="7" t="n">
        <v>39.3</v>
      </c>
      <c r="G36" s="6">
        <f>E36-F36</f>
        <v/>
      </c>
      <c r="H36" s="6">
        <f>ABS(G36)</f>
        <v/>
      </c>
      <c r="I36" s="7" t="n">
        <v>36.5</v>
      </c>
    </row>
    <row r="37">
      <c r="A37" s="4" t="n">
        <v>33</v>
      </c>
      <c r="B37" s="4" t="n">
        <v>14</v>
      </c>
      <c r="C37" s="5" t="inlineStr">
        <is>
          <t>ACCGAACACAGTTT</t>
        </is>
      </c>
      <c r="D37" s="6">
        <f>ROUND(100*(LEN(C37)-LEN(SUBSTITUTE(SUBSTITUTE(C37,"G",""),"C","")))/LEN(C37),1)</f>
        <v/>
      </c>
      <c r="E37" s="7" t="n">
        <v>51.2</v>
      </c>
      <c r="F37" s="7" t="n">
        <v>51.5</v>
      </c>
      <c r="G37" s="6">
        <f>E37-F37</f>
        <v/>
      </c>
      <c r="H37" s="6">
        <f>ABS(G37)</f>
        <v/>
      </c>
      <c r="I37" s="7" t="n">
        <v>48.7</v>
      </c>
    </row>
    <row r="38">
      <c r="A38" s="4" t="n">
        <v>34</v>
      </c>
      <c r="B38" s="4" t="n">
        <v>14</v>
      </c>
      <c r="C38" s="5" t="inlineStr">
        <is>
          <t>ATGTGTTCTCTAGT</t>
        </is>
      </c>
      <c r="D38" s="6">
        <f>ROUND(100*(LEN(C38)-LEN(SUBSTITUTE(SUBSTITUTE(C38,"G",""),"C","")))/LEN(C38),1)</f>
        <v/>
      </c>
      <c r="E38" s="7" t="n">
        <v>45.3</v>
      </c>
      <c r="F38" s="7" t="n">
        <v>45.1</v>
      </c>
      <c r="G38" s="6">
        <f>E38-F38</f>
        <v/>
      </c>
      <c r="H38" s="6">
        <f>ABS(G38)</f>
        <v/>
      </c>
      <c r="I38" s="7" t="n">
        <v>42.3</v>
      </c>
    </row>
    <row r="39">
      <c r="A39" s="4" t="n">
        <v>35</v>
      </c>
      <c r="B39" s="4" t="n">
        <v>14</v>
      </c>
      <c r="C39" s="5" t="inlineStr">
        <is>
          <t>ACCTGACATTCTAA</t>
        </is>
      </c>
      <c r="D39" s="6">
        <f>ROUND(100*(LEN(C39)-LEN(SUBSTITUTE(SUBSTITUTE(C39,"G",""),"C","")))/LEN(C39),1)</f>
        <v/>
      </c>
      <c r="E39" s="7" t="n">
        <v>45.7</v>
      </c>
      <c r="F39" s="7" t="n">
        <v>45.5</v>
      </c>
      <c r="G39" s="6">
        <f>E39-F39</f>
        <v/>
      </c>
      <c r="H39" s="6">
        <f>ABS(G39)</f>
        <v/>
      </c>
      <c r="I39" s="7" t="n">
        <v>42.7</v>
      </c>
    </row>
    <row r="40">
      <c r="A40" s="4" t="n">
        <v>36</v>
      </c>
      <c r="B40" s="4" t="n">
        <v>14</v>
      </c>
      <c r="C40" s="5" t="inlineStr">
        <is>
          <t>GCGAGAGGAGGGAC</t>
        </is>
      </c>
      <c r="D40" s="6">
        <f>ROUND(100*(LEN(C40)-LEN(SUBSTITUTE(SUBSTITUTE(C40,"G",""),"C","")))/LEN(C40),1)</f>
        <v/>
      </c>
      <c r="E40" s="7" t="n">
        <v>56.9</v>
      </c>
      <c r="F40" s="7" t="n">
        <v>58.9</v>
      </c>
      <c r="G40" s="6">
        <f>E40-F40</f>
        <v/>
      </c>
      <c r="H40" s="6">
        <f>ABS(G40)</f>
        <v/>
      </c>
      <c r="I40" s="7" t="n">
        <v>56.1</v>
      </c>
    </row>
    <row r="41">
      <c r="A41" s="4" t="n">
        <v>37</v>
      </c>
      <c r="B41" s="4" t="n">
        <v>14</v>
      </c>
      <c r="C41" s="5" t="inlineStr">
        <is>
          <t>AAAATTAGATCAAA</t>
        </is>
      </c>
      <c r="D41" s="6">
        <f>ROUND(100*(LEN(C41)-LEN(SUBSTITUTE(SUBSTITUTE(C41,"G",""),"C","")))/LEN(C41),1)</f>
        <v/>
      </c>
      <c r="E41" s="7" t="n">
        <v>38.1</v>
      </c>
      <c r="F41" s="7" t="n">
        <v>36.6</v>
      </c>
      <c r="G41" s="6">
        <f>E41-F41</f>
        <v/>
      </c>
      <c r="H41" s="6">
        <f>ABS(G41)</f>
        <v/>
      </c>
      <c r="I41" s="7" t="n">
        <v>33.9</v>
      </c>
    </row>
    <row r="42">
      <c r="A42" s="4" t="n">
        <v>38</v>
      </c>
      <c r="B42" s="4" t="n">
        <v>14</v>
      </c>
      <c r="C42" s="5" t="inlineStr">
        <is>
          <t>CTCCAGCCTGCCCC</t>
        </is>
      </c>
      <c r="D42" s="6">
        <f>ROUND(100*(LEN(C42)-LEN(SUBSTITUTE(SUBSTITUTE(C42,"G",""),"C","")))/LEN(C42),1)</f>
        <v/>
      </c>
      <c r="E42" s="7" t="n">
        <v>61.1</v>
      </c>
      <c r="F42" s="7" t="n">
        <v>63.6</v>
      </c>
      <c r="G42" s="6">
        <f>E42-F42</f>
        <v/>
      </c>
      <c r="H42" s="6">
        <f>ABS(G42)</f>
        <v/>
      </c>
      <c r="I42" s="7" t="n">
        <v>60.7</v>
      </c>
    </row>
    <row r="43">
      <c r="A43" s="4" t="n">
        <v>39</v>
      </c>
      <c r="B43" s="4" t="n">
        <v>14</v>
      </c>
      <c r="C43" s="5" t="inlineStr">
        <is>
          <t>TTTTAGTAAGGACG</t>
        </is>
      </c>
      <c r="D43" s="6">
        <f>ROUND(100*(LEN(C43)-LEN(SUBSTITUTE(SUBSTITUTE(C43,"G",""),"C","")))/LEN(C43),1)</f>
        <v/>
      </c>
      <c r="E43" s="7" t="n">
        <v>44.3</v>
      </c>
      <c r="F43" s="7" t="n">
        <v>44.1</v>
      </c>
      <c r="G43" s="6">
        <f>E43-F43</f>
        <v/>
      </c>
      <c r="H43" s="6">
        <f>ABS(G43)</f>
        <v/>
      </c>
      <c r="I43" s="7" t="n">
        <v>41.4</v>
      </c>
    </row>
    <row r="44">
      <c r="A44" s="4" t="n">
        <v>40</v>
      </c>
      <c r="B44" s="4" t="n">
        <v>14</v>
      </c>
      <c r="C44" s="5" t="inlineStr">
        <is>
          <t>CAATAGAAATTACG</t>
        </is>
      </c>
      <c r="D44" s="6">
        <f>ROUND(100*(LEN(C44)-LEN(SUBSTITUTE(SUBSTITUTE(C44,"G",""),"C","")))/LEN(C44),1)</f>
        <v/>
      </c>
      <c r="E44" s="7" t="n">
        <v>40.3</v>
      </c>
      <c r="F44" s="7" t="n">
        <v>39.7</v>
      </c>
      <c r="G44" s="6">
        <f>E44-F44</f>
        <v/>
      </c>
      <c r="H44" s="6">
        <f>ABS(G44)</f>
        <v/>
      </c>
      <c r="I44" s="7" t="n">
        <v>37.1</v>
      </c>
    </row>
    <row r="46">
      <c r="A46" s="8" t="inlineStr">
        <is>
          <t>Summary (IDT − TransPrimer)</t>
        </is>
      </c>
    </row>
    <row r="47">
      <c r="A47" s="9" t="inlineStr">
        <is>
          <t>Mean difference (°C)</t>
        </is>
      </c>
      <c r="D47" s="10">
        <f>AVERAGE(G5:G44)</f>
        <v/>
      </c>
    </row>
    <row r="48">
      <c r="A48" s="9" t="inlineStr">
        <is>
          <t>SD of difference (°C)</t>
        </is>
      </c>
      <c r="D48" s="10">
        <f>STDEV(G5:G44)</f>
        <v/>
      </c>
    </row>
    <row r="49">
      <c r="A49" s="9" t="inlineStr">
        <is>
          <t>Min difference (°C)</t>
        </is>
      </c>
      <c r="D49" s="10">
        <f>MIN(G5:G44)</f>
        <v/>
      </c>
    </row>
    <row r="50">
      <c r="A50" s="9" t="inlineStr">
        <is>
          <t>Max difference (°C)</t>
        </is>
      </c>
      <c r="D50" s="10">
        <f>MAX(G5:G44)</f>
        <v/>
      </c>
    </row>
    <row r="51">
      <c r="A51" s="9" t="inlineStr">
        <is>
          <t>Mean |difference| (°C)</t>
        </is>
      </c>
      <c r="D51" s="10">
        <f>AVERAGE(H5:H44)</f>
        <v/>
      </c>
    </row>
    <row r="52">
      <c r="A52" s="9" t="inlineStr">
        <is>
          <t>Primers within 1 °C</t>
        </is>
      </c>
      <c r="D52" s="10">
        <f>COUNTIF(H5:H44,"&lt;=1")</f>
        <v/>
      </c>
    </row>
    <row r="53">
      <c r="A53" s="9" t="inlineStr">
        <is>
          <t>Primers within 2 °C</t>
        </is>
      </c>
      <c r="D53" s="10">
        <f>COUNTIF(H5:H44,"&lt;=2")</f>
        <v/>
      </c>
    </row>
    <row r="54">
      <c r="A54" s="9" t="inlineStr">
        <is>
          <t>Mean IDT − old R·ln(C_T/4) engine (°C)</t>
        </is>
      </c>
      <c r="D54" s="10">
        <f>AVERAGE(E5:E44)-AVERAGE(I5:I44)</f>
        <v/>
      </c>
    </row>
    <row r="56">
      <c r="A56" s="8" t="inlineStr">
        <is>
          <t>Mean difference by primer length</t>
        </is>
      </c>
    </row>
    <row r="57">
      <c r="A57" s="8" t="inlineStr">
        <is>
          <t>Length (nt)</t>
        </is>
      </c>
      <c r="B57" s="8" t="inlineStr">
        <is>
          <t>n</t>
        </is>
      </c>
      <c r="C57" s="8" t="inlineStr">
        <is>
          <t>Mean IDT − TransPrimer (°C)</t>
        </is>
      </c>
    </row>
    <row r="58">
      <c r="A58" s="9" t="n">
        <v>10</v>
      </c>
      <c r="B58" s="9">
        <f>COUNTIF(B5:B44,A58)</f>
        <v/>
      </c>
      <c r="C58" s="11">
        <f>AVERAGEIF(B5:B44,A58,G5:G44)</f>
        <v/>
      </c>
    </row>
    <row r="59">
      <c r="A59" s="9" t="n">
        <v>11</v>
      </c>
      <c r="B59" s="9">
        <f>COUNTIF(B5:B44,A59)</f>
        <v/>
      </c>
      <c r="C59" s="11">
        <f>AVERAGEIF(B5:B44,A59,G5:G44)</f>
        <v/>
      </c>
    </row>
    <row r="60">
      <c r="A60" s="9" t="n">
        <v>12</v>
      </c>
      <c r="B60" s="9">
        <f>COUNTIF(B5:B44,A60)</f>
        <v/>
      </c>
      <c r="C60" s="11">
        <f>AVERAGEIF(B5:B44,A60,G5:G44)</f>
        <v/>
      </c>
    </row>
    <row r="61">
      <c r="A61" s="9" t="n">
        <v>13</v>
      </c>
      <c r="B61" s="9">
        <f>COUNTIF(B5:B44,A61)</f>
        <v/>
      </c>
      <c r="C61" s="11">
        <f>AVERAGEIF(B5:B44,A61,G5:G44)</f>
        <v/>
      </c>
    </row>
    <row r="62">
      <c r="A62" s="9" t="n">
        <v>14</v>
      </c>
      <c r="B62" s="9">
        <f>COUNTIF(B5:B44,A62)</f>
        <v/>
      </c>
      <c r="C62" s="11">
        <f>AVERAGEIF(B5:B44,A62,G5:G44)</f>
        <v/>
      </c>
    </row>
    <row r="64">
      <c r="A64" s="2" t="inlineStr">
        <is>
          <t>Legend: blue = values entered from the two tools; black = formulas. Difference and summary cells recalculate if a blue value is edited.</t>
        </is>
      </c>
    </row>
    <row r="65">
      <c r="A65" s="2" t="inlineStr">
        <is>
          <t>Primers: random A/C/G/T sequences, eight per length 10–14 nt, generated with Python random.seed(20261020).</t>
        </is>
      </c>
    </row>
  </sheetData>
  <mergeCells count="8">
    <mergeCell ref="A49:C49"/>
    <mergeCell ref="A47:C47"/>
    <mergeCell ref="A53:C53"/>
    <mergeCell ref="A50:C50"/>
    <mergeCell ref="A48:C48"/>
    <mergeCell ref="A54:C54"/>
    <mergeCell ref="A51:C51"/>
    <mergeCell ref="A52:C5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2026-10-20T21:34:40Z</dcterms:created>
  <dcterms:modified xsi:type="dcterms:W3CDTF">2026-10-20T21:34:40Z</dcterms:modified>
</cp:coreProperties>
</file>